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24-Month Projection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€&quot;"/>
    <numFmt numFmtId="165" formatCode="#,##0.00 &quot;€&quot;"/>
    <numFmt numFmtId="166" formatCode="0.0%"/>
    <numFmt numFmtId="167" formatCode="0.000"/>
    <numFmt numFmtId="168" formatCode="#,##0.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4" borderId="1" pivotButton="0" quotePrefix="0" xfId="0"/>
    <xf numFmtId="3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166" fontId="0" fillId="0" borderId="1" pivotButton="0" quotePrefix="0" xfId="0"/>
    <xf numFmtId="168" fontId="0" fillId="0" borderId="1" pivotButton="0" quotePrefix="0" xfId="0"/>
    <xf numFmtId="0" fontId="3" fillId="2" borderId="0" applyAlignment="1" pivotButton="0" quotePrefix="0" xfId="0">
      <alignment horizontal="center"/>
    </xf>
    <xf numFmtId="0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CLARA — Model Inputs (edit the yellow cells)</t>
        </is>
      </c>
    </row>
    <row r="2">
      <c r="A2" s="2" t="inlineStr">
        <is>
          <t>Pricing (net, ex-VAT)</t>
        </is>
      </c>
    </row>
    <row r="3">
      <c r="A3" t="inlineStr">
        <is>
          <t>Starter price / mo</t>
        </is>
      </c>
      <c r="B3" s="3" t="n">
        <v>690</v>
      </c>
    </row>
    <row r="4">
      <c r="A4" t="inlineStr">
        <is>
          <t>Growth price / mo</t>
        </is>
      </c>
      <c r="B4" s="3" t="n">
        <v>1990</v>
      </c>
    </row>
    <row r="5">
      <c r="A5" t="inlineStr">
        <is>
          <t>Enterprise price / mo</t>
        </is>
      </c>
      <c r="B5" s="3" t="n">
        <v>5000</v>
      </c>
    </row>
    <row r="6">
      <c r="A6" s="2" t="inlineStr">
        <is>
          <t>Usage</t>
        </is>
      </c>
    </row>
    <row r="7">
      <c r="A7" t="inlineStr">
        <is>
          <t>Starter avg signals / mo</t>
        </is>
      </c>
      <c r="B7" s="4" t="n">
        <v>3000</v>
      </c>
    </row>
    <row r="8">
      <c r="A8" t="inlineStr">
        <is>
          <t>Growth avg signals / mo</t>
        </is>
      </c>
      <c r="B8" s="4" t="n">
        <v>30000</v>
      </c>
    </row>
    <row r="9">
      <c r="A9" t="inlineStr">
        <is>
          <t>Enterprise avg signals / mo</t>
        </is>
      </c>
      <c r="B9" s="4" t="n">
        <v>150000</v>
      </c>
    </row>
    <row r="10">
      <c r="A10" t="inlineStr">
        <is>
          <t>Inference cost per 1,000 signals</t>
        </is>
      </c>
      <c r="B10" s="5" t="n">
        <v>2</v>
      </c>
    </row>
    <row r="11">
      <c r="A11" s="2" t="inlineStr">
        <is>
          <t>Economics</t>
        </is>
      </c>
    </row>
    <row r="12">
      <c r="A12" t="inlineStr">
        <is>
          <t>Payment / MoR fee %</t>
        </is>
      </c>
      <c r="B12" s="6" t="n">
        <v>0.05</v>
      </c>
    </row>
    <row r="13">
      <c r="A13" t="inlineStr">
        <is>
          <t>Annual prepay discount %</t>
        </is>
      </c>
      <c r="B13" s="6" t="n">
        <v>0.17</v>
      </c>
    </row>
    <row r="14">
      <c r="A14" t="inlineStr">
        <is>
          <t>% customers on annual billing</t>
        </is>
      </c>
      <c r="B14" s="6" t="n">
        <v>0.6</v>
      </c>
    </row>
    <row r="15">
      <c r="A15" t="inlineStr">
        <is>
          <t>Effective price factor</t>
        </is>
      </c>
      <c r="B15" s="7">
        <f>1-B14*B13</f>
        <v/>
      </c>
    </row>
    <row r="16">
      <c r="A16" s="2" t="inlineStr">
        <is>
          <t>Churn (monthly logo)</t>
        </is>
      </c>
    </row>
    <row r="17">
      <c r="A17" t="inlineStr">
        <is>
          <t>Starter monthly churn</t>
        </is>
      </c>
      <c r="B17" s="6" t="n">
        <v>0.03</v>
      </c>
    </row>
    <row r="18">
      <c r="A18" t="inlineStr">
        <is>
          <t>Growth monthly churn</t>
        </is>
      </c>
      <c r="B18" s="6" t="n">
        <v>0.02</v>
      </c>
    </row>
    <row r="19">
      <c r="A19" t="inlineStr">
        <is>
          <t>Enterprise monthly churn</t>
        </is>
      </c>
      <c r="B19" s="6" t="n">
        <v>0.01</v>
      </c>
    </row>
    <row r="20">
      <c r="A20" s="2" t="inlineStr">
        <is>
          <t>Costs &amp; cash</t>
        </is>
      </c>
    </row>
    <row r="21">
      <c r="A21" t="inlineStr">
        <is>
          <t>Founder draw / mo</t>
        </is>
      </c>
      <c r="B21" s="3" t="n">
        <v>3500</v>
      </c>
    </row>
    <row r="22">
      <c r="A22" t="inlineStr">
        <is>
          <t>Tool stack / mo</t>
        </is>
      </c>
      <c r="B22" s="3" t="n">
        <v>300</v>
      </c>
    </row>
    <row r="23">
      <c r="A23" t="inlineStr">
        <is>
          <t>Starting cash</t>
        </is>
      </c>
      <c r="B23" s="3" t="n">
        <v>20000</v>
      </c>
    </row>
    <row r="24">
      <c r="A24" t="inlineStr">
        <is>
          <t>Overage per 1,000 signals (info)</t>
        </is>
      </c>
      <c r="B24" s="3" t="n">
        <v>12</v>
      </c>
    </row>
  </sheetData>
  <mergeCells count="6">
    <mergeCell ref="A11:C11"/>
    <mergeCell ref="A1:C1"/>
    <mergeCell ref="A2:C2"/>
    <mergeCell ref="A6:C6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Per-Tier Unit Economics (monthly)</t>
        </is>
      </c>
    </row>
    <row r="3">
      <c r="B3" s="8" t="inlineStr">
        <is>
          <t>Starter</t>
        </is>
      </c>
      <c r="C3" s="8" t="inlineStr">
        <is>
          <t>Growth</t>
        </is>
      </c>
      <c r="D3" s="8" t="inlineStr">
        <is>
          <t>Enterprise</t>
        </is>
      </c>
    </row>
    <row r="4">
      <c r="A4" s="9" t="inlineStr">
        <is>
          <t>Price / mo</t>
        </is>
      </c>
      <c r="B4" s="10">
        <f>Inputs!B3</f>
        <v/>
      </c>
      <c r="C4" s="10">
        <f>Inputs!B4</f>
        <v/>
      </c>
      <c r="D4" s="10">
        <f>Inputs!B5</f>
        <v/>
      </c>
    </row>
    <row r="5">
      <c r="A5" s="9" t="inlineStr">
        <is>
          <t>Avg signals / mo</t>
        </is>
      </c>
      <c r="B5" s="11">
        <f>Inputs!B7</f>
        <v/>
      </c>
      <c r="C5" s="11">
        <f>Inputs!B8</f>
        <v/>
      </c>
      <c r="D5" s="11">
        <f>Inputs!B9</f>
        <v/>
      </c>
    </row>
    <row r="6">
      <c r="A6" s="9" t="inlineStr">
        <is>
          <t>Inference COGS / mo</t>
        </is>
      </c>
      <c r="B6" s="12">
        <f>B5/1000*Inputs!$B$10</f>
        <v/>
      </c>
      <c r="C6" s="12">
        <f>C5/1000*Inputs!$B$10</f>
        <v/>
      </c>
      <c r="D6" s="12">
        <f>D5/1000*Inputs!$B$10</f>
        <v/>
      </c>
    </row>
    <row r="7">
      <c r="A7" s="9" t="inlineStr">
        <is>
          <t>Payment fee / mo</t>
        </is>
      </c>
      <c r="B7" s="12">
        <f>B4*Inputs!$B$12</f>
        <v/>
      </c>
      <c r="C7" s="12">
        <f>C4*Inputs!$B$12</f>
        <v/>
      </c>
      <c r="D7" s="12">
        <f>D4*Inputs!$B$12</f>
        <v/>
      </c>
    </row>
    <row r="8">
      <c r="A8" s="13" t="inlineStr">
        <is>
          <t>Gross profit / mo</t>
        </is>
      </c>
      <c r="B8" s="10">
        <f>B4-B6-B7</f>
        <v/>
      </c>
      <c r="C8" s="10">
        <f>C4-C6-C7</f>
        <v/>
      </c>
      <c r="D8" s="10">
        <f>D4-D6-D7</f>
        <v/>
      </c>
    </row>
    <row r="9">
      <c r="A9" s="13" t="inlineStr">
        <is>
          <t>Gross margin %</t>
        </is>
      </c>
      <c r="B9" s="14">
        <f>B8/B4</f>
        <v/>
      </c>
      <c r="C9" s="14">
        <f>C8/C4</f>
        <v/>
      </c>
      <c r="D9" s="14">
        <f>D8/D4</f>
        <v/>
      </c>
    </row>
    <row r="10">
      <c r="A10" s="9" t="inlineStr">
        <is>
          <t>Monthly churn</t>
        </is>
      </c>
      <c r="B10" s="14">
        <f>Inputs!B17</f>
        <v/>
      </c>
      <c r="C10" s="14">
        <f>Inputs!B18</f>
        <v/>
      </c>
      <c r="D10" s="14">
        <f>Inputs!B19</f>
        <v/>
      </c>
    </row>
    <row r="11">
      <c r="A11" s="9" t="inlineStr">
        <is>
          <t>Avg lifetime (mo)</t>
        </is>
      </c>
      <c r="B11" s="15">
        <f>1/B10</f>
        <v/>
      </c>
      <c r="C11" s="15">
        <f>1/C10</f>
        <v/>
      </c>
      <c r="D11" s="15">
        <f>1/D10</f>
        <v/>
      </c>
    </row>
    <row r="12">
      <c r="A12" s="13" t="inlineStr">
        <is>
          <t>LTV (gross)</t>
        </is>
      </c>
      <c r="B12" s="10">
        <f>B8*B11</f>
        <v/>
      </c>
      <c r="C12" s="10">
        <f>C8*C11</f>
        <v/>
      </c>
      <c r="D12" s="10">
        <f>D8*D11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24-Month Projection (edit new-customer columns)</t>
        </is>
      </c>
    </row>
    <row r="3">
      <c r="A3" s="16" t="inlineStr">
        <is>
          <t>Month</t>
        </is>
      </c>
      <c r="B3" s="16" t="inlineStr">
        <is>
          <t>New S</t>
        </is>
      </c>
      <c r="C3" s="16" t="inlineStr">
        <is>
          <t>New G</t>
        </is>
      </c>
      <c r="D3" s="16" t="inlineStr">
        <is>
          <t>New E</t>
        </is>
      </c>
      <c r="E3" s="16" t="inlineStr">
        <is>
          <t>Active S</t>
        </is>
      </c>
      <c r="F3" s="16" t="inlineStr">
        <is>
          <t>Active G</t>
        </is>
      </c>
      <c r="G3" s="16" t="inlineStr">
        <is>
          <t>Active E</t>
        </is>
      </c>
      <c r="H3" s="16" t="inlineStr">
        <is>
          <t>MRR</t>
        </is>
      </c>
      <c r="I3" s="16" t="inlineStr">
        <is>
          <t>ARR</t>
        </is>
      </c>
      <c r="J3" s="16" t="inlineStr">
        <is>
          <t>COGS</t>
        </is>
      </c>
      <c r="K3" s="16" t="inlineStr">
        <is>
          <t>Gross profit</t>
        </is>
      </c>
      <c r="L3" s="16" t="inlineStr">
        <is>
          <t>Opex</t>
        </is>
      </c>
      <c r="M3" s="16" t="inlineStr">
        <is>
          <t>Net</t>
        </is>
      </c>
      <c r="N3" s="16" t="inlineStr">
        <is>
          <t>Cum. cash</t>
        </is>
      </c>
    </row>
    <row r="4">
      <c r="A4" t="n">
        <v>1</v>
      </c>
      <c r="B4" s="17" t="n">
        <v>1</v>
      </c>
      <c r="C4" s="17" t="n">
        <v>0</v>
      </c>
      <c r="D4" s="17" t="n">
        <v>0</v>
      </c>
      <c r="E4">
        <f>B4</f>
        <v/>
      </c>
      <c r="F4">
        <f>C4</f>
        <v/>
      </c>
      <c r="G4">
        <f>D4</f>
        <v/>
      </c>
      <c r="H4" s="18">
        <f>(E4*Inputs!$B$3+F4*Inputs!$B$4+G4*Inputs!$B$5)*Inputs!$B$15</f>
        <v/>
      </c>
      <c r="I4" s="18">
        <f>H4*12</f>
        <v/>
      </c>
      <c r="J4" s="18">
        <f>(E4*Inputs!$B$7+F4*Inputs!$B$8+G4*Inputs!$B$9)/1000*Inputs!$B$10</f>
        <v/>
      </c>
      <c r="K4" s="18">
        <f>H4-J4-H4*Inputs!$B$12</f>
        <v/>
      </c>
      <c r="L4" s="18">
        <f>Inputs!$B$21+Inputs!$B$22</f>
        <v/>
      </c>
      <c r="M4" s="18">
        <f>K4-L4</f>
        <v/>
      </c>
      <c r="N4" s="18">
        <f>Inputs!$B$23+M4</f>
        <v/>
      </c>
    </row>
    <row r="5">
      <c r="A5" t="n">
        <v>2</v>
      </c>
      <c r="B5" s="17" t="n">
        <v>1</v>
      </c>
      <c r="C5" s="17" t="n">
        <v>1</v>
      </c>
      <c r="D5" s="17" t="n">
        <v>0</v>
      </c>
      <c r="E5">
        <f>E4*(1-Inputs!$B$17)+B5</f>
        <v/>
      </c>
      <c r="F5">
        <f>F4*(1-Inputs!$B$18)+C5</f>
        <v/>
      </c>
      <c r="G5">
        <f>G4*(1-Inputs!$B$19)+D5</f>
        <v/>
      </c>
      <c r="H5" s="18">
        <f>(E5*Inputs!$B$3+F5*Inputs!$B$4+G5*Inputs!$B$5)*Inputs!$B$15</f>
        <v/>
      </c>
      <c r="I5" s="18">
        <f>H5*12</f>
        <v/>
      </c>
      <c r="J5" s="18">
        <f>(E5*Inputs!$B$7+F5*Inputs!$B$8+G5*Inputs!$B$9)/1000*Inputs!$B$10</f>
        <v/>
      </c>
      <c r="K5" s="18">
        <f>H5-J5-H5*Inputs!$B$12</f>
        <v/>
      </c>
      <c r="L5" s="18">
        <f>Inputs!$B$21+Inputs!$B$22</f>
        <v/>
      </c>
      <c r="M5" s="18">
        <f>K5-L5</f>
        <v/>
      </c>
      <c r="N5" s="18">
        <f>N4+M5</f>
        <v/>
      </c>
    </row>
    <row r="6">
      <c r="A6" t="n">
        <v>3</v>
      </c>
      <c r="B6" s="17" t="n">
        <v>2</v>
      </c>
      <c r="C6" s="17" t="n">
        <v>1</v>
      </c>
      <c r="D6" s="17" t="n">
        <v>0</v>
      </c>
      <c r="E6">
        <f>E5*(1-Inputs!$B$17)+B6</f>
        <v/>
      </c>
      <c r="F6">
        <f>F5*(1-Inputs!$B$18)+C6</f>
        <v/>
      </c>
      <c r="G6">
        <f>G5*(1-Inputs!$B$19)+D6</f>
        <v/>
      </c>
      <c r="H6" s="18">
        <f>(E6*Inputs!$B$3+F6*Inputs!$B$4+G6*Inputs!$B$5)*Inputs!$B$15</f>
        <v/>
      </c>
      <c r="I6" s="18">
        <f>H6*12</f>
        <v/>
      </c>
      <c r="J6" s="18">
        <f>(E6*Inputs!$B$7+F6*Inputs!$B$8+G6*Inputs!$B$9)/1000*Inputs!$B$10</f>
        <v/>
      </c>
      <c r="K6" s="18">
        <f>H6-J6-H6*Inputs!$B$12</f>
        <v/>
      </c>
      <c r="L6" s="18">
        <f>Inputs!$B$21+Inputs!$B$22</f>
        <v/>
      </c>
      <c r="M6" s="18">
        <f>K6-L6</f>
        <v/>
      </c>
      <c r="N6" s="18">
        <f>N5+M6</f>
        <v/>
      </c>
    </row>
    <row r="7">
      <c r="A7" t="n">
        <v>4</v>
      </c>
      <c r="B7" s="17" t="n">
        <v>2</v>
      </c>
      <c r="C7" s="17" t="n">
        <v>1</v>
      </c>
      <c r="D7" s="17" t="n">
        <v>0</v>
      </c>
      <c r="E7">
        <f>E6*(1-Inputs!$B$17)+B7</f>
        <v/>
      </c>
      <c r="F7">
        <f>F6*(1-Inputs!$B$18)+C7</f>
        <v/>
      </c>
      <c r="G7">
        <f>G6*(1-Inputs!$B$19)+D7</f>
        <v/>
      </c>
      <c r="H7" s="18">
        <f>(E7*Inputs!$B$3+F7*Inputs!$B$4+G7*Inputs!$B$5)*Inputs!$B$15</f>
        <v/>
      </c>
      <c r="I7" s="18">
        <f>H7*12</f>
        <v/>
      </c>
      <c r="J7" s="18">
        <f>(E7*Inputs!$B$7+F7*Inputs!$B$8+G7*Inputs!$B$9)/1000*Inputs!$B$10</f>
        <v/>
      </c>
      <c r="K7" s="18">
        <f>H7-J7-H7*Inputs!$B$12</f>
        <v/>
      </c>
      <c r="L7" s="18">
        <f>Inputs!$B$21+Inputs!$B$22</f>
        <v/>
      </c>
      <c r="M7" s="18">
        <f>K7-L7</f>
        <v/>
      </c>
      <c r="N7" s="18">
        <f>N6+M7</f>
        <v/>
      </c>
    </row>
    <row r="8">
      <c r="A8" t="n">
        <v>5</v>
      </c>
      <c r="B8" s="17" t="n">
        <v>3</v>
      </c>
      <c r="C8" s="17" t="n">
        <v>1</v>
      </c>
      <c r="D8" s="17" t="n">
        <v>1</v>
      </c>
      <c r="E8">
        <f>E7*(1-Inputs!$B$17)+B8</f>
        <v/>
      </c>
      <c r="F8">
        <f>F7*(1-Inputs!$B$18)+C8</f>
        <v/>
      </c>
      <c r="G8">
        <f>G7*(1-Inputs!$B$19)+D8</f>
        <v/>
      </c>
      <c r="H8" s="18">
        <f>(E8*Inputs!$B$3+F8*Inputs!$B$4+G8*Inputs!$B$5)*Inputs!$B$15</f>
        <v/>
      </c>
      <c r="I8" s="18">
        <f>H8*12</f>
        <v/>
      </c>
      <c r="J8" s="18">
        <f>(E8*Inputs!$B$7+F8*Inputs!$B$8+G8*Inputs!$B$9)/1000*Inputs!$B$10</f>
        <v/>
      </c>
      <c r="K8" s="18">
        <f>H8-J8-H8*Inputs!$B$12</f>
        <v/>
      </c>
      <c r="L8" s="18">
        <f>Inputs!$B$21+Inputs!$B$22</f>
        <v/>
      </c>
      <c r="M8" s="18">
        <f>K8-L8</f>
        <v/>
      </c>
      <c r="N8" s="18">
        <f>N7+M8</f>
        <v/>
      </c>
    </row>
    <row r="9">
      <c r="A9" t="n">
        <v>6</v>
      </c>
      <c r="B9" s="17" t="n">
        <v>3</v>
      </c>
      <c r="C9" s="17" t="n">
        <v>2</v>
      </c>
      <c r="D9" s="17" t="n">
        <v>0</v>
      </c>
      <c r="E9">
        <f>E8*(1-Inputs!$B$17)+B9</f>
        <v/>
      </c>
      <c r="F9">
        <f>F8*(1-Inputs!$B$18)+C9</f>
        <v/>
      </c>
      <c r="G9">
        <f>G8*(1-Inputs!$B$19)+D9</f>
        <v/>
      </c>
      <c r="H9" s="18">
        <f>(E9*Inputs!$B$3+F9*Inputs!$B$4+G9*Inputs!$B$5)*Inputs!$B$15</f>
        <v/>
      </c>
      <c r="I9" s="18">
        <f>H9*12</f>
        <v/>
      </c>
      <c r="J9" s="18">
        <f>(E9*Inputs!$B$7+F9*Inputs!$B$8+G9*Inputs!$B$9)/1000*Inputs!$B$10</f>
        <v/>
      </c>
      <c r="K9" s="18">
        <f>H9-J9-H9*Inputs!$B$12</f>
        <v/>
      </c>
      <c r="L9" s="18">
        <f>Inputs!$B$21+Inputs!$B$22</f>
        <v/>
      </c>
      <c r="M9" s="18">
        <f>K9-L9</f>
        <v/>
      </c>
      <c r="N9" s="18">
        <f>N8+M9</f>
        <v/>
      </c>
    </row>
    <row r="10">
      <c r="A10" t="n">
        <v>7</v>
      </c>
      <c r="B10" s="17" t="n">
        <v>3</v>
      </c>
      <c r="C10" s="17" t="n">
        <v>2</v>
      </c>
      <c r="D10" s="17" t="n">
        <v>0</v>
      </c>
      <c r="E10">
        <f>E9*(1-Inputs!$B$17)+B10</f>
        <v/>
      </c>
      <c r="F10">
        <f>F9*(1-Inputs!$B$18)+C10</f>
        <v/>
      </c>
      <c r="G10">
        <f>G9*(1-Inputs!$B$19)+D10</f>
        <v/>
      </c>
      <c r="H10" s="18">
        <f>(E10*Inputs!$B$3+F10*Inputs!$B$4+G10*Inputs!$B$5)*Inputs!$B$15</f>
        <v/>
      </c>
      <c r="I10" s="18">
        <f>H10*12</f>
        <v/>
      </c>
      <c r="J10" s="18">
        <f>(E10*Inputs!$B$7+F10*Inputs!$B$8+G10*Inputs!$B$9)/1000*Inputs!$B$10</f>
        <v/>
      </c>
      <c r="K10" s="18">
        <f>H10-J10-H10*Inputs!$B$12</f>
        <v/>
      </c>
      <c r="L10" s="18">
        <f>Inputs!$B$21+Inputs!$B$22</f>
        <v/>
      </c>
      <c r="M10" s="18">
        <f>K10-L10</f>
        <v/>
      </c>
      <c r="N10" s="18">
        <f>N9+M10</f>
        <v/>
      </c>
    </row>
    <row r="11">
      <c r="A11" t="n">
        <v>8</v>
      </c>
      <c r="B11" s="17" t="n">
        <v>4</v>
      </c>
      <c r="C11" s="17" t="n">
        <v>2</v>
      </c>
      <c r="D11" s="17" t="n">
        <v>1</v>
      </c>
      <c r="E11">
        <f>E10*(1-Inputs!$B$17)+B11</f>
        <v/>
      </c>
      <c r="F11">
        <f>F10*(1-Inputs!$B$18)+C11</f>
        <v/>
      </c>
      <c r="G11">
        <f>G10*(1-Inputs!$B$19)+D11</f>
        <v/>
      </c>
      <c r="H11" s="18">
        <f>(E11*Inputs!$B$3+F11*Inputs!$B$4+G11*Inputs!$B$5)*Inputs!$B$15</f>
        <v/>
      </c>
      <c r="I11" s="18">
        <f>H11*12</f>
        <v/>
      </c>
      <c r="J11" s="18">
        <f>(E11*Inputs!$B$7+F11*Inputs!$B$8+G11*Inputs!$B$9)/1000*Inputs!$B$10</f>
        <v/>
      </c>
      <c r="K11" s="18">
        <f>H11-J11-H11*Inputs!$B$12</f>
        <v/>
      </c>
      <c r="L11" s="18">
        <f>Inputs!$B$21+Inputs!$B$22</f>
        <v/>
      </c>
      <c r="M11" s="18">
        <f>K11-L11</f>
        <v/>
      </c>
      <c r="N11" s="18">
        <f>N10+M11</f>
        <v/>
      </c>
    </row>
    <row r="12">
      <c r="A12" t="n">
        <v>9</v>
      </c>
      <c r="B12" s="17" t="n">
        <v>4</v>
      </c>
      <c r="C12" s="17" t="n">
        <v>2</v>
      </c>
      <c r="D12" s="17" t="n">
        <v>0</v>
      </c>
      <c r="E12">
        <f>E11*(1-Inputs!$B$17)+B12</f>
        <v/>
      </c>
      <c r="F12">
        <f>F11*(1-Inputs!$B$18)+C12</f>
        <v/>
      </c>
      <c r="G12">
        <f>G11*(1-Inputs!$B$19)+D12</f>
        <v/>
      </c>
      <c r="H12" s="18">
        <f>(E12*Inputs!$B$3+F12*Inputs!$B$4+G12*Inputs!$B$5)*Inputs!$B$15</f>
        <v/>
      </c>
      <c r="I12" s="18">
        <f>H12*12</f>
        <v/>
      </c>
      <c r="J12" s="18">
        <f>(E12*Inputs!$B$7+F12*Inputs!$B$8+G12*Inputs!$B$9)/1000*Inputs!$B$10</f>
        <v/>
      </c>
      <c r="K12" s="18">
        <f>H12-J12-H12*Inputs!$B$12</f>
        <v/>
      </c>
      <c r="L12" s="18">
        <f>Inputs!$B$21+Inputs!$B$22</f>
        <v/>
      </c>
      <c r="M12" s="18">
        <f>K12-L12</f>
        <v/>
      </c>
      <c r="N12" s="18">
        <f>N11+M12</f>
        <v/>
      </c>
    </row>
    <row r="13">
      <c r="A13" t="n">
        <v>10</v>
      </c>
      <c r="B13" s="17" t="n">
        <v>4</v>
      </c>
      <c r="C13" s="17" t="n">
        <v>2</v>
      </c>
      <c r="D13" s="17" t="n">
        <v>0</v>
      </c>
      <c r="E13">
        <f>E12*(1-Inputs!$B$17)+B13</f>
        <v/>
      </c>
      <c r="F13">
        <f>F12*(1-Inputs!$B$18)+C13</f>
        <v/>
      </c>
      <c r="G13">
        <f>G12*(1-Inputs!$B$19)+D13</f>
        <v/>
      </c>
      <c r="H13" s="18">
        <f>(E13*Inputs!$B$3+F13*Inputs!$B$4+G13*Inputs!$B$5)*Inputs!$B$15</f>
        <v/>
      </c>
      <c r="I13" s="18">
        <f>H13*12</f>
        <v/>
      </c>
      <c r="J13" s="18">
        <f>(E13*Inputs!$B$7+F13*Inputs!$B$8+G13*Inputs!$B$9)/1000*Inputs!$B$10</f>
        <v/>
      </c>
      <c r="K13" s="18">
        <f>H13-J13-H13*Inputs!$B$12</f>
        <v/>
      </c>
      <c r="L13" s="18">
        <f>Inputs!$B$21+Inputs!$B$22</f>
        <v/>
      </c>
      <c r="M13" s="18">
        <f>K13-L13</f>
        <v/>
      </c>
      <c r="N13" s="18">
        <f>N12+M13</f>
        <v/>
      </c>
    </row>
    <row r="14">
      <c r="A14" t="n">
        <v>11</v>
      </c>
      <c r="B14" s="17" t="n">
        <v>5</v>
      </c>
      <c r="C14" s="17" t="n">
        <v>3</v>
      </c>
      <c r="D14" s="17" t="n">
        <v>1</v>
      </c>
      <c r="E14">
        <f>E13*(1-Inputs!$B$17)+B14</f>
        <v/>
      </c>
      <c r="F14">
        <f>F13*(1-Inputs!$B$18)+C14</f>
        <v/>
      </c>
      <c r="G14">
        <f>G13*(1-Inputs!$B$19)+D14</f>
        <v/>
      </c>
      <c r="H14" s="18">
        <f>(E14*Inputs!$B$3+F14*Inputs!$B$4+G14*Inputs!$B$5)*Inputs!$B$15</f>
        <v/>
      </c>
      <c r="I14" s="18">
        <f>H14*12</f>
        <v/>
      </c>
      <c r="J14" s="18">
        <f>(E14*Inputs!$B$7+F14*Inputs!$B$8+G14*Inputs!$B$9)/1000*Inputs!$B$10</f>
        <v/>
      </c>
      <c r="K14" s="18">
        <f>H14-J14-H14*Inputs!$B$12</f>
        <v/>
      </c>
      <c r="L14" s="18">
        <f>Inputs!$B$21+Inputs!$B$22</f>
        <v/>
      </c>
      <c r="M14" s="18">
        <f>K14-L14</f>
        <v/>
      </c>
      <c r="N14" s="18">
        <f>N13+M14</f>
        <v/>
      </c>
    </row>
    <row r="15">
      <c r="A15" t="n">
        <v>12</v>
      </c>
      <c r="B15" s="17" t="n">
        <v>5</v>
      </c>
      <c r="C15" s="17" t="n">
        <v>3</v>
      </c>
      <c r="D15" s="17" t="n">
        <v>0</v>
      </c>
      <c r="E15">
        <f>E14*(1-Inputs!$B$17)+B15</f>
        <v/>
      </c>
      <c r="F15">
        <f>F14*(1-Inputs!$B$18)+C15</f>
        <v/>
      </c>
      <c r="G15">
        <f>G14*(1-Inputs!$B$19)+D15</f>
        <v/>
      </c>
      <c r="H15" s="18">
        <f>(E15*Inputs!$B$3+F15*Inputs!$B$4+G15*Inputs!$B$5)*Inputs!$B$15</f>
        <v/>
      </c>
      <c r="I15" s="18">
        <f>H15*12</f>
        <v/>
      </c>
      <c r="J15" s="18">
        <f>(E15*Inputs!$B$7+F15*Inputs!$B$8+G15*Inputs!$B$9)/1000*Inputs!$B$10</f>
        <v/>
      </c>
      <c r="K15" s="18">
        <f>H15-J15-H15*Inputs!$B$12</f>
        <v/>
      </c>
      <c r="L15" s="18">
        <f>Inputs!$B$21+Inputs!$B$22</f>
        <v/>
      </c>
      <c r="M15" s="18">
        <f>K15-L15</f>
        <v/>
      </c>
      <c r="N15" s="18">
        <f>N14+M15</f>
        <v/>
      </c>
    </row>
    <row r="16">
      <c r="A16" t="n">
        <v>13</v>
      </c>
      <c r="B16" s="17" t="n">
        <v>5</v>
      </c>
      <c r="C16" s="17" t="n">
        <v>3</v>
      </c>
      <c r="D16" s="17" t="n">
        <v>0</v>
      </c>
      <c r="E16">
        <f>E15*(1-Inputs!$B$17)+B16</f>
        <v/>
      </c>
      <c r="F16">
        <f>F15*(1-Inputs!$B$18)+C16</f>
        <v/>
      </c>
      <c r="G16">
        <f>G15*(1-Inputs!$B$19)+D16</f>
        <v/>
      </c>
      <c r="H16" s="18">
        <f>(E16*Inputs!$B$3+F16*Inputs!$B$4+G16*Inputs!$B$5)*Inputs!$B$15</f>
        <v/>
      </c>
      <c r="I16" s="18">
        <f>H16*12</f>
        <v/>
      </c>
      <c r="J16" s="18">
        <f>(E16*Inputs!$B$7+F16*Inputs!$B$8+G16*Inputs!$B$9)/1000*Inputs!$B$10</f>
        <v/>
      </c>
      <c r="K16" s="18">
        <f>H16-J16-H16*Inputs!$B$12</f>
        <v/>
      </c>
      <c r="L16" s="18">
        <f>Inputs!$B$21+Inputs!$B$22</f>
        <v/>
      </c>
      <c r="M16" s="18">
        <f>K16-L16</f>
        <v/>
      </c>
      <c r="N16" s="18">
        <f>N15+M16</f>
        <v/>
      </c>
    </row>
    <row r="17">
      <c r="A17" t="n">
        <v>14</v>
      </c>
      <c r="B17" s="17" t="n">
        <v>5</v>
      </c>
      <c r="C17" s="17" t="n">
        <v>3</v>
      </c>
      <c r="D17" s="17" t="n">
        <v>1</v>
      </c>
      <c r="E17">
        <f>E16*(1-Inputs!$B$17)+B17</f>
        <v/>
      </c>
      <c r="F17">
        <f>F16*(1-Inputs!$B$18)+C17</f>
        <v/>
      </c>
      <c r="G17">
        <f>G16*(1-Inputs!$B$19)+D17</f>
        <v/>
      </c>
      <c r="H17" s="18">
        <f>(E17*Inputs!$B$3+F17*Inputs!$B$4+G17*Inputs!$B$5)*Inputs!$B$15</f>
        <v/>
      </c>
      <c r="I17" s="18">
        <f>H17*12</f>
        <v/>
      </c>
      <c r="J17" s="18">
        <f>(E17*Inputs!$B$7+F17*Inputs!$B$8+G17*Inputs!$B$9)/1000*Inputs!$B$10</f>
        <v/>
      </c>
      <c r="K17" s="18">
        <f>H17-J17-H17*Inputs!$B$12</f>
        <v/>
      </c>
      <c r="L17" s="18">
        <f>Inputs!$B$21+Inputs!$B$22</f>
        <v/>
      </c>
      <c r="M17" s="18">
        <f>K17-L17</f>
        <v/>
      </c>
      <c r="N17" s="18">
        <f>N16+M17</f>
        <v/>
      </c>
    </row>
    <row r="18">
      <c r="A18" t="n">
        <v>15</v>
      </c>
      <c r="B18" s="17" t="n">
        <v>6</v>
      </c>
      <c r="C18" s="17" t="n">
        <v>3</v>
      </c>
      <c r="D18" s="17" t="n">
        <v>0</v>
      </c>
      <c r="E18">
        <f>E17*(1-Inputs!$B$17)+B18</f>
        <v/>
      </c>
      <c r="F18">
        <f>F17*(1-Inputs!$B$18)+C18</f>
        <v/>
      </c>
      <c r="G18">
        <f>G17*(1-Inputs!$B$19)+D18</f>
        <v/>
      </c>
      <c r="H18" s="18">
        <f>(E18*Inputs!$B$3+F18*Inputs!$B$4+G18*Inputs!$B$5)*Inputs!$B$15</f>
        <v/>
      </c>
      <c r="I18" s="18">
        <f>H18*12</f>
        <v/>
      </c>
      <c r="J18" s="18">
        <f>(E18*Inputs!$B$7+F18*Inputs!$B$8+G18*Inputs!$B$9)/1000*Inputs!$B$10</f>
        <v/>
      </c>
      <c r="K18" s="18">
        <f>H18-J18-H18*Inputs!$B$12</f>
        <v/>
      </c>
      <c r="L18" s="18">
        <f>Inputs!$B$21+Inputs!$B$22</f>
        <v/>
      </c>
      <c r="M18" s="18">
        <f>K18-L18</f>
        <v/>
      </c>
      <c r="N18" s="18">
        <f>N17+M18</f>
        <v/>
      </c>
    </row>
    <row r="19">
      <c r="A19" t="n">
        <v>16</v>
      </c>
      <c r="B19" s="17" t="n">
        <v>6</v>
      </c>
      <c r="C19" s="17" t="n">
        <v>3</v>
      </c>
      <c r="D19" s="17" t="n">
        <v>0</v>
      </c>
      <c r="E19">
        <f>E18*(1-Inputs!$B$17)+B19</f>
        <v/>
      </c>
      <c r="F19">
        <f>F18*(1-Inputs!$B$18)+C19</f>
        <v/>
      </c>
      <c r="G19">
        <f>G18*(1-Inputs!$B$19)+D19</f>
        <v/>
      </c>
      <c r="H19" s="18">
        <f>(E19*Inputs!$B$3+F19*Inputs!$B$4+G19*Inputs!$B$5)*Inputs!$B$15</f>
        <v/>
      </c>
      <c r="I19" s="18">
        <f>H19*12</f>
        <v/>
      </c>
      <c r="J19" s="18">
        <f>(E19*Inputs!$B$7+F19*Inputs!$B$8+G19*Inputs!$B$9)/1000*Inputs!$B$10</f>
        <v/>
      </c>
      <c r="K19" s="18">
        <f>H19-J19-H19*Inputs!$B$12</f>
        <v/>
      </c>
      <c r="L19" s="18">
        <f>Inputs!$B$21+Inputs!$B$22</f>
        <v/>
      </c>
      <c r="M19" s="18">
        <f>K19-L19</f>
        <v/>
      </c>
      <c r="N19" s="18">
        <f>N18+M19</f>
        <v/>
      </c>
    </row>
    <row r="20">
      <c r="A20" t="n">
        <v>17</v>
      </c>
      <c r="B20" s="17" t="n">
        <v>6</v>
      </c>
      <c r="C20" s="17" t="n">
        <v>4</v>
      </c>
      <c r="D20" s="17" t="n">
        <v>1</v>
      </c>
      <c r="E20">
        <f>E19*(1-Inputs!$B$17)+B20</f>
        <v/>
      </c>
      <c r="F20">
        <f>F19*(1-Inputs!$B$18)+C20</f>
        <v/>
      </c>
      <c r="G20">
        <f>G19*(1-Inputs!$B$19)+D20</f>
        <v/>
      </c>
      <c r="H20" s="18">
        <f>(E20*Inputs!$B$3+F20*Inputs!$B$4+G20*Inputs!$B$5)*Inputs!$B$15</f>
        <v/>
      </c>
      <c r="I20" s="18">
        <f>H20*12</f>
        <v/>
      </c>
      <c r="J20" s="18">
        <f>(E20*Inputs!$B$7+F20*Inputs!$B$8+G20*Inputs!$B$9)/1000*Inputs!$B$10</f>
        <v/>
      </c>
      <c r="K20" s="18">
        <f>H20-J20-H20*Inputs!$B$12</f>
        <v/>
      </c>
      <c r="L20" s="18">
        <f>Inputs!$B$21+Inputs!$B$22</f>
        <v/>
      </c>
      <c r="M20" s="18">
        <f>K20-L20</f>
        <v/>
      </c>
      <c r="N20" s="18">
        <f>N19+M20</f>
        <v/>
      </c>
    </row>
    <row r="21">
      <c r="A21" t="n">
        <v>18</v>
      </c>
      <c r="B21" s="17" t="n">
        <v>6</v>
      </c>
      <c r="C21" s="17" t="n">
        <v>4</v>
      </c>
      <c r="D21" s="17" t="n">
        <v>0</v>
      </c>
      <c r="E21">
        <f>E20*(1-Inputs!$B$17)+B21</f>
        <v/>
      </c>
      <c r="F21">
        <f>F20*(1-Inputs!$B$18)+C21</f>
        <v/>
      </c>
      <c r="G21">
        <f>G20*(1-Inputs!$B$19)+D21</f>
        <v/>
      </c>
      <c r="H21" s="18">
        <f>(E21*Inputs!$B$3+F21*Inputs!$B$4+G21*Inputs!$B$5)*Inputs!$B$15</f>
        <v/>
      </c>
      <c r="I21" s="18">
        <f>H21*12</f>
        <v/>
      </c>
      <c r="J21" s="18">
        <f>(E21*Inputs!$B$7+F21*Inputs!$B$8+G21*Inputs!$B$9)/1000*Inputs!$B$10</f>
        <v/>
      </c>
      <c r="K21" s="18">
        <f>H21-J21-H21*Inputs!$B$12</f>
        <v/>
      </c>
      <c r="L21" s="18">
        <f>Inputs!$B$21+Inputs!$B$22</f>
        <v/>
      </c>
      <c r="M21" s="18">
        <f>K21-L21</f>
        <v/>
      </c>
      <c r="N21" s="18">
        <f>N20+M21</f>
        <v/>
      </c>
    </row>
    <row r="22">
      <c r="A22" t="n">
        <v>19</v>
      </c>
      <c r="B22" s="17" t="n">
        <v>7</v>
      </c>
      <c r="C22" s="17" t="n">
        <v>4</v>
      </c>
      <c r="D22" s="17" t="n">
        <v>0</v>
      </c>
      <c r="E22">
        <f>E21*(1-Inputs!$B$17)+B22</f>
        <v/>
      </c>
      <c r="F22">
        <f>F21*(1-Inputs!$B$18)+C22</f>
        <v/>
      </c>
      <c r="G22">
        <f>G21*(1-Inputs!$B$19)+D22</f>
        <v/>
      </c>
      <c r="H22" s="18">
        <f>(E22*Inputs!$B$3+F22*Inputs!$B$4+G22*Inputs!$B$5)*Inputs!$B$15</f>
        <v/>
      </c>
      <c r="I22" s="18">
        <f>H22*12</f>
        <v/>
      </c>
      <c r="J22" s="18">
        <f>(E22*Inputs!$B$7+F22*Inputs!$B$8+G22*Inputs!$B$9)/1000*Inputs!$B$10</f>
        <v/>
      </c>
      <c r="K22" s="18">
        <f>H22-J22-H22*Inputs!$B$12</f>
        <v/>
      </c>
      <c r="L22" s="18">
        <f>Inputs!$B$21+Inputs!$B$22</f>
        <v/>
      </c>
      <c r="M22" s="18">
        <f>K22-L22</f>
        <v/>
      </c>
      <c r="N22" s="18">
        <f>N21+M22</f>
        <v/>
      </c>
    </row>
    <row r="23">
      <c r="A23" t="n">
        <v>20</v>
      </c>
      <c r="B23" s="17" t="n">
        <v>7</v>
      </c>
      <c r="C23" s="17" t="n">
        <v>4</v>
      </c>
      <c r="D23" s="17" t="n">
        <v>1</v>
      </c>
      <c r="E23">
        <f>E22*(1-Inputs!$B$17)+B23</f>
        <v/>
      </c>
      <c r="F23">
        <f>F22*(1-Inputs!$B$18)+C23</f>
        <v/>
      </c>
      <c r="G23">
        <f>G22*(1-Inputs!$B$19)+D23</f>
        <v/>
      </c>
      <c r="H23" s="18">
        <f>(E23*Inputs!$B$3+F23*Inputs!$B$4+G23*Inputs!$B$5)*Inputs!$B$15</f>
        <v/>
      </c>
      <c r="I23" s="18">
        <f>H23*12</f>
        <v/>
      </c>
      <c r="J23" s="18">
        <f>(E23*Inputs!$B$7+F23*Inputs!$B$8+G23*Inputs!$B$9)/1000*Inputs!$B$10</f>
        <v/>
      </c>
      <c r="K23" s="18">
        <f>H23-J23-H23*Inputs!$B$12</f>
        <v/>
      </c>
      <c r="L23" s="18">
        <f>Inputs!$B$21+Inputs!$B$22</f>
        <v/>
      </c>
      <c r="M23" s="18">
        <f>K23-L23</f>
        <v/>
      </c>
      <c r="N23" s="18">
        <f>N22+M23</f>
        <v/>
      </c>
    </row>
    <row r="24">
      <c r="A24" t="n">
        <v>21</v>
      </c>
      <c r="B24" s="17" t="n">
        <v>7</v>
      </c>
      <c r="C24" s="17" t="n">
        <v>4</v>
      </c>
      <c r="D24" s="17" t="n">
        <v>0</v>
      </c>
      <c r="E24">
        <f>E23*(1-Inputs!$B$17)+B24</f>
        <v/>
      </c>
      <c r="F24">
        <f>F23*(1-Inputs!$B$18)+C24</f>
        <v/>
      </c>
      <c r="G24">
        <f>G23*(1-Inputs!$B$19)+D24</f>
        <v/>
      </c>
      <c r="H24" s="18">
        <f>(E24*Inputs!$B$3+F24*Inputs!$B$4+G24*Inputs!$B$5)*Inputs!$B$15</f>
        <v/>
      </c>
      <c r="I24" s="18">
        <f>H24*12</f>
        <v/>
      </c>
      <c r="J24" s="18">
        <f>(E24*Inputs!$B$7+F24*Inputs!$B$8+G24*Inputs!$B$9)/1000*Inputs!$B$10</f>
        <v/>
      </c>
      <c r="K24" s="18">
        <f>H24-J24-H24*Inputs!$B$12</f>
        <v/>
      </c>
      <c r="L24" s="18">
        <f>Inputs!$B$21+Inputs!$B$22</f>
        <v/>
      </c>
      <c r="M24" s="18">
        <f>K24-L24</f>
        <v/>
      </c>
      <c r="N24" s="18">
        <f>N23+M24</f>
        <v/>
      </c>
    </row>
    <row r="25">
      <c r="A25" t="n">
        <v>22</v>
      </c>
      <c r="B25" s="17" t="n">
        <v>7</v>
      </c>
      <c r="C25" s="17" t="n">
        <v>4</v>
      </c>
      <c r="D25" s="17" t="n">
        <v>0</v>
      </c>
      <c r="E25">
        <f>E24*(1-Inputs!$B$17)+B25</f>
        <v/>
      </c>
      <c r="F25">
        <f>F24*(1-Inputs!$B$18)+C25</f>
        <v/>
      </c>
      <c r="G25">
        <f>G24*(1-Inputs!$B$19)+D25</f>
        <v/>
      </c>
      <c r="H25" s="18">
        <f>(E25*Inputs!$B$3+F25*Inputs!$B$4+G25*Inputs!$B$5)*Inputs!$B$15</f>
        <v/>
      </c>
      <c r="I25" s="18">
        <f>H25*12</f>
        <v/>
      </c>
      <c r="J25" s="18">
        <f>(E25*Inputs!$B$7+F25*Inputs!$B$8+G25*Inputs!$B$9)/1000*Inputs!$B$10</f>
        <v/>
      </c>
      <c r="K25" s="18">
        <f>H25-J25-H25*Inputs!$B$12</f>
        <v/>
      </c>
      <c r="L25" s="18">
        <f>Inputs!$B$21+Inputs!$B$22</f>
        <v/>
      </c>
      <c r="M25" s="18">
        <f>K25-L25</f>
        <v/>
      </c>
      <c r="N25" s="18">
        <f>N24+M25</f>
        <v/>
      </c>
    </row>
    <row r="26">
      <c r="A26" t="n">
        <v>23</v>
      </c>
      <c r="B26" s="17" t="n">
        <v>8</v>
      </c>
      <c r="C26" s="17" t="n">
        <v>5</v>
      </c>
      <c r="D26" s="17" t="n">
        <v>1</v>
      </c>
      <c r="E26">
        <f>E25*(1-Inputs!$B$17)+B26</f>
        <v/>
      </c>
      <c r="F26">
        <f>F25*(1-Inputs!$B$18)+C26</f>
        <v/>
      </c>
      <c r="G26">
        <f>G25*(1-Inputs!$B$19)+D26</f>
        <v/>
      </c>
      <c r="H26" s="18">
        <f>(E26*Inputs!$B$3+F26*Inputs!$B$4+G26*Inputs!$B$5)*Inputs!$B$15</f>
        <v/>
      </c>
      <c r="I26" s="18">
        <f>H26*12</f>
        <v/>
      </c>
      <c r="J26" s="18">
        <f>(E26*Inputs!$B$7+F26*Inputs!$B$8+G26*Inputs!$B$9)/1000*Inputs!$B$10</f>
        <v/>
      </c>
      <c r="K26" s="18">
        <f>H26-J26-H26*Inputs!$B$12</f>
        <v/>
      </c>
      <c r="L26" s="18">
        <f>Inputs!$B$21+Inputs!$B$22</f>
        <v/>
      </c>
      <c r="M26" s="18">
        <f>K26-L26</f>
        <v/>
      </c>
      <c r="N26" s="18">
        <f>N25+M26</f>
        <v/>
      </c>
    </row>
    <row r="27">
      <c r="A27" t="n">
        <v>24</v>
      </c>
      <c r="B27" s="17" t="n">
        <v>8</v>
      </c>
      <c r="C27" s="17" t="n">
        <v>5</v>
      </c>
      <c r="D27" s="17" t="n">
        <v>0</v>
      </c>
      <c r="E27">
        <f>E26*(1-Inputs!$B$17)+B27</f>
        <v/>
      </c>
      <c r="F27">
        <f>F26*(1-Inputs!$B$18)+C27</f>
        <v/>
      </c>
      <c r="G27">
        <f>G26*(1-Inputs!$B$19)+D27</f>
        <v/>
      </c>
      <c r="H27" s="18">
        <f>(E27*Inputs!$B$3+F27*Inputs!$B$4+G27*Inputs!$B$5)*Inputs!$B$15</f>
        <v/>
      </c>
      <c r="I27" s="18">
        <f>H27*12</f>
        <v/>
      </c>
      <c r="J27" s="18">
        <f>(E27*Inputs!$B$7+F27*Inputs!$B$8+G27*Inputs!$B$9)/1000*Inputs!$B$10</f>
        <v/>
      </c>
      <c r="K27" s="18">
        <f>H27-J27-H27*Inputs!$B$12</f>
        <v/>
      </c>
      <c r="L27" s="18">
        <f>Inputs!$B$21+Inputs!$B$22</f>
        <v/>
      </c>
      <c r="M27" s="18">
        <f>K27-L27</f>
        <v/>
      </c>
      <c r="N27" s="18">
        <f>N26+M27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CLARA financial model — how to use</t>
        </is>
      </c>
    </row>
    <row r="2"/>
    <row r="3">
      <c r="A3" t="inlineStr">
        <is>
          <t>1. Edit ONLY the yellow cells (Inputs sheet + the New-customer columns on the Projection).</t>
        </is>
      </c>
    </row>
    <row r="4">
      <c r="A4" t="inlineStr">
        <is>
          <t>2. Everything else is formula-driven and recalculates automatically.</t>
        </is>
      </c>
    </row>
    <row r="5">
      <c r="A5" t="inlineStr">
        <is>
          <t>3. Prices are NET (ex-VAT), strategic hypotheses to validate via willingness-to-pay interviews.</t>
        </is>
      </c>
    </row>
    <row r="6">
      <c r="A6" t="inlineStr">
        <is>
          <t>4. 'Effective price factor' discounts MRR for the share of customers on annual prepay.</t>
        </is>
      </c>
    </row>
    <row r="7">
      <c r="A7" t="inlineStr">
        <is>
          <t>5. Cash is recognised monthly (simplified). Annual prepay actually front-loads cash — a real</t>
        </is>
      </c>
    </row>
    <row r="8">
      <c r="A8" t="inlineStr">
        <is>
          <t xml:space="preserve">   cash-flow advantage described in 05-pricing-and-financial-model.md, not modelled here.</t>
        </is>
      </c>
    </row>
    <row r="9">
      <c r="A9" t="inlineStr">
        <is>
          <t>6. Inference COGS assumes CLARA's local-first / no-fine-tune stack keeps cost/1k signals low;</t>
        </is>
      </c>
    </row>
    <row r="10">
      <c r="A10" t="inlineStr">
        <is>
          <t xml:space="preserve">   tune 'Inference cost per 1,000 signals' from real usage.</t>
        </is>
      </c>
    </row>
    <row r="11">
      <c r="A11" t="inlineStr">
        <is>
          <t>7. This is a planning model, not a forecast or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2026-07-01T06:56:51Z</dcterms:created>
  <dcterms:modified xmlns:dcterms="http://purl.org/dc/terms/" xmlns:xsi="http://www.w3.org/2001/XMLSchema-instance" xsi:type="dcterms:W3CDTF">2026-07-01T06:57:32Z</dcterms:modified>
</cp:coreProperties>
</file>